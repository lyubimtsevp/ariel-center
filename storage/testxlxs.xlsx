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ЭтаКнига" defaultThemeVersion="124226"/>
  <bookViews>
    <workbookView xWindow="120" yWindow="75" windowWidth="19095" windowHeight="11760"/>
  </bookViews>
  <sheets>
    <sheet name="Описание" sheetId="4" r:id="rId1"/>
    <sheet name="Тест" sheetId="3" r:id="rId2"/>
    <sheet name="Настройка" sheetId="2" r:id="rId3"/>
  </sheets>
  <calcPr calcId="124519"/>
</workbook>
</file>

<file path=xl/calcChain.xml><?xml version="1.0" encoding="utf-8"?>
<calcChain xmlns="http://schemas.openxmlformats.org/spreadsheetml/2006/main">
  <c r="J35" i="2"/>
  <c r="J31"/>
  <c r="J26"/>
  <c r="I11"/>
  <c r="J11" s="1"/>
  <c r="I26"/>
  <c r="I17"/>
  <c r="J17" s="1"/>
  <c r="I22"/>
  <c r="J22" s="1"/>
  <c r="I31"/>
  <c r="I35"/>
  <c r="I7"/>
  <c r="J7" s="1"/>
  <c r="B33" i="3"/>
  <c r="B29"/>
  <c r="B24"/>
  <c r="B15"/>
  <c r="B9"/>
  <c r="B6"/>
  <c r="C3"/>
  <c r="C2"/>
  <c r="A1"/>
  <c r="I36" i="2" l="1"/>
  <c r="J36"/>
  <c r="K36" l="1"/>
  <c r="I37" s="1"/>
  <c r="H49" i="3" l="1"/>
</calcChain>
</file>

<file path=xl/sharedStrings.xml><?xml version="1.0" encoding="utf-8"?>
<sst xmlns="http://schemas.openxmlformats.org/spreadsheetml/2006/main" count="66" uniqueCount="62">
  <si>
    <t>Слон это:</t>
  </si>
  <si>
    <t>Рыба</t>
  </si>
  <si>
    <t>Птица</t>
  </si>
  <si>
    <t>Животное</t>
  </si>
  <si>
    <t>Учреждение:</t>
  </si>
  <si>
    <t>№ п/п</t>
  </si>
  <si>
    <t>Вопрос</t>
  </si>
  <si>
    <t>Варианты ответа</t>
  </si>
  <si>
    <t>Ракета</t>
  </si>
  <si>
    <t>Школа № 7</t>
  </si>
  <si>
    <t>Иванова О.А.</t>
  </si>
  <si>
    <t>Проставьте баллы за каждый из ответов</t>
  </si>
  <si>
    <t>Быстрее всех движется:</t>
  </si>
  <si>
    <t>Велосипедист</t>
  </si>
  <si>
    <t>Автомобиль</t>
  </si>
  <si>
    <t>Электропоезд</t>
  </si>
  <si>
    <t>Самолет</t>
  </si>
  <si>
    <t>иррациональное число</t>
  </si>
  <si>
    <t>периодическая дробь</t>
  </si>
  <si>
    <t>бесконечная периодическая дробь</t>
  </si>
  <si>
    <t>рациональное число</t>
  </si>
  <si>
    <r>
      <t>Н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О - это:</t>
    </r>
  </si>
  <si>
    <t>обозначение атома воды</t>
  </si>
  <si>
    <t>обозначение молекулы воды</t>
  </si>
  <si>
    <t>что-то из химии</t>
  </si>
  <si>
    <t>Автор произведения: "Левый марш"</t>
  </si>
  <si>
    <t>А. Блок</t>
  </si>
  <si>
    <t>С. Есенин</t>
  </si>
  <si>
    <t>А. Розенбаум</t>
  </si>
  <si>
    <t>В. Маяковский</t>
  </si>
  <si>
    <t>натуральное число</t>
  </si>
  <si>
    <t>действительное число</t>
  </si>
  <si>
    <t>отрицательное целое число</t>
  </si>
  <si>
    <t>Оказать 1-ю медицинскую помощь - это:</t>
  </si>
  <si>
    <t>Вызвать скорую помощь</t>
  </si>
  <si>
    <t>Сделать искуственное дыхание</t>
  </si>
  <si>
    <t>Ряд медицинских действий</t>
  </si>
  <si>
    <t>Примерный тест, по различным предметам</t>
  </si>
  <si>
    <t>Класс:</t>
  </si>
  <si>
    <t>7-Б</t>
  </si>
  <si>
    <t>Петров Павел</t>
  </si>
  <si>
    <t>Число (-7) это:</t>
  </si>
  <si>
    <t>Ф.И.О. ученика:</t>
  </si>
  <si>
    <r>
      <t>Н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О - это:</t>
    </r>
  </si>
  <si>
    <t>Число (1/3) - это</t>
  </si>
  <si>
    <t>Оценка:</t>
  </si>
  <si>
    <t>Класс:______   ФИО:_____________________</t>
  </si>
  <si>
    <t>Разработчик:</t>
  </si>
  <si>
    <t>Название:</t>
  </si>
  <si>
    <t xml:space="preserve">Оценка: </t>
  </si>
  <si>
    <t>Универсальный шаблон Excel для оперативного тестирования.</t>
  </si>
  <si>
    <r>
      <t>Автор:</t>
    </r>
    <r>
      <rPr>
        <sz val="11"/>
        <color rgb="FF000000"/>
        <rFont val="Times New Roman"/>
        <family val="1"/>
        <charset val="204"/>
      </rPr>
      <t xml:space="preserve"> Жмудь Александр Аркадьевич</t>
    </r>
  </si>
  <si>
    <r>
      <t>Аннотация:</t>
    </r>
    <r>
      <rPr>
        <sz val="11"/>
        <color rgb="FF000000"/>
        <rFont val="Times New Roman"/>
        <family val="1"/>
        <charset val="204"/>
      </rPr>
      <t xml:space="preserve">  Предлагается простой универсальный шаблон </t>
    </r>
    <r>
      <rPr>
        <b/>
        <sz val="11"/>
        <color rgb="FF000000"/>
        <rFont val="Times New Roman"/>
        <family val="1"/>
        <charset val="204"/>
      </rPr>
      <t>Excel</t>
    </r>
    <r>
      <rPr>
        <sz val="11"/>
        <color rgb="FF000000"/>
        <rFont val="Times New Roman"/>
        <family val="1"/>
        <charset val="204"/>
      </rPr>
      <t xml:space="preserve"> для оперативного создания тестов и автоматизированного тестирования обучающихся по произвольной тематике. Шаблон состоит из 7 вопросов, на которые предлагаются от 3 до 5 ответов. Тестирование может производиться с использованием компьютера (при этом оценка проставляется автоматически), либо по бумажному носителю.</t>
    </r>
  </si>
  <si>
    <r>
      <t>Описание:</t>
    </r>
    <r>
      <rPr>
        <sz val="11"/>
        <color rgb="FF000000"/>
        <rFont val="Times New Roman"/>
        <family val="1"/>
        <charset val="204"/>
      </rPr>
      <t xml:space="preserve"> Шаблон состоит из 3 листов </t>
    </r>
    <r>
      <rPr>
        <b/>
        <sz val="11"/>
        <color rgb="FF000000"/>
        <rFont val="Times New Roman"/>
        <family val="1"/>
        <charset val="204"/>
      </rPr>
      <t xml:space="preserve">Excel </t>
    </r>
    <r>
      <rPr>
        <sz val="11"/>
        <color rgb="FF000000"/>
        <rFont val="Times New Roman"/>
        <family val="1"/>
        <charset val="204"/>
      </rPr>
      <t xml:space="preserve">версии Офис-2007: 1-й лист - это данное описание; 2-й лист - "Тест" для электронного тестирования; 3-й лист - "Настройка", предназначен для изменения заданий и ответов, указания их уровня (количество баллов за конкретный ответ), автоматизации оценивания результатов теста листа "Тест", и может быть распечатан для тестирования обучающихся по бумажным носителям. </t>
    </r>
    <r>
      <rPr>
        <b/>
        <sz val="11"/>
        <color rgb="FF000000"/>
        <rFont val="Times New Roman"/>
        <family val="1"/>
        <charset val="204"/>
      </rPr>
      <t>Все изменения на листе "Настройка" автоматически переносятся на лист "Тест"</t>
    </r>
    <r>
      <rPr>
        <sz val="11"/>
        <color rgb="FF000000"/>
        <rFont val="Times New Roman"/>
        <family val="1"/>
        <charset val="204"/>
      </rPr>
      <t xml:space="preserve">. </t>
    </r>
  </si>
  <si>
    <t xml:space="preserve">   При тестировании на компьютере разрешение монитора следует установить 1280х1024. В этом случае весь тест будет нормально отображаться на экране монитора. Обучающийся выбирает варианты ответов из раскрывающихся списков и оценка проставляется автоматически (видна только при распечатке, либо в режиме предварительного просмотра).</t>
  </si>
  <si>
    <t xml:space="preserve">   Для тестирования по бумажным носителям, распечатайте первый лист страницы "Настройка".</t>
  </si>
  <si>
    <t xml:space="preserve">   Данный тест используется уже более 10 лет для оперативной подготовки тестов для тестирования обучающихся в различных целях (был разработан в более ранних версиях Excel).</t>
  </si>
  <si>
    <t xml:space="preserve">Источники: </t>
  </si>
  <si>
    <t>1. Все об Excel. http://4excel.ru/index.php</t>
  </si>
  <si>
    <t xml:space="preserve">   Лист "Тест" защищен паролем "тест", набранном на клавиатуре в режиме "EN" (латиница). При автоматизированном тестировании, пароль лучше сменить (правая кнопка мышки при наведенном курсоре на название листа внизу экрана- Рис.1, Снять защиту листа, а затем Защитить лист новым паролем). </t>
  </si>
  <si>
    <t xml:space="preserve">   При тестировании на компьютере: скройте столбец "E" за столбцом "D" (Рис. 2) и Защитите лист паролем!</t>
  </si>
  <si>
    <r>
      <t xml:space="preserve"> При тестировании на компьютере: </t>
    </r>
    <r>
      <rPr>
        <b/>
        <sz val="11"/>
        <color rgb="FF000000"/>
        <rFont val="Times New Roman"/>
        <family val="1"/>
        <charset val="204"/>
      </rPr>
      <t>Удалите страницу "Описание" (оставьте её только на своей копии файла)!</t>
    </r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</si>
</sst>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vertAlign val="subscript"/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4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/>
    </xf>
    <xf numFmtId="0" fontId="4" fillId="0" borderId="0" xfId="0" applyFont="1" applyBorder="1"/>
    <xf numFmtId="0" fontId="0" fillId="0" borderId="0" xfId="0" applyBorder="1" applyAlignment="1">
      <alignment horizontal="left" vertical="top"/>
    </xf>
    <xf numFmtId="0" fontId="7" fillId="0" borderId="0" xfId="0" applyFont="1" applyBorder="1" applyAlignment="1"/>
    <xf numFmtId="0" fontId="0" fillId="0" borderId="0" xfId="0" applyBorder="1" applyAlignment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/>
    <xf numFmtId="0" fontId="0" fillId="0" borderId="0" xfId="0" applyAlignment="1"/>
    <xf numFmtId="0" fontId="9" fillId="0" borderId="0" xfId="1" applyAlignment="1" applyProtection="1"/>
    <xf numFmtId="0" fontId="10" fillId="0" borderId="0" xfId="0" applyFont="1" applyAlignment="1"/>
    <xf numFmtId="0" fontId="1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right"/>
    </xf>
    <xf numFmtId="0" fontId="6" fillId="0" borderId="0" xfId="0" applyFont="1" applyAlignment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49" fontId="0" fillId="0" borderId="0" xfId="0" applyNumberFormat="1" applyBorder="1" applyAlignment="1">
      <alignment horizontal="left" vertical="top" wrapText="1"/>
    </xf>
    <xf numFmtId="0" fontId="0" fillId="0" borderId="0" xfId="0" applyBorder="1" applyAlignment="1"/>
    <xf numFmtId="0" fontId="7" fillId="0" borderId="0" xfId="0" applyFont="1" applyBorder="1" applyAlignment="1"/>
    <xf numFmtId="0" fontId="0" fillId="0" borderId="0" xfId="0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4</xdr:col>
      <xdr:colOff>557867</xdr:colOff>
      <xdr:row>25</xdr:row>
      <xdr:rowOff>147333</xdr:rowOff>
    </xdr:to>
    <xdr:pic>
      <xdr:nvPicPr>
        <xdr:cNvPr id="4" name="Рисунок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43400"/>
          <a:ext cx="2996267" cy="2052333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10</xdr:col>
      <xdr:colOff>137187</xdr:colOff>
      <xdr:row>26</xdr:row>
      <xdr:rowOff>81029</xdr:rowOff>
    </xdr:to>
    <xdr:pic>
      <xdr:nvPicPr>
        <xdr:cNvPr id="5" name="Рисунок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657600" y="4343400"/>
          <a:ext cx="2575587" cy="2176529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</xdr:spPr>
    </xdr:pic>
    <xdr:clientData/>
  </xdr:twoCellAnchor>
  <xdr:twoCellAnchor editAs="oneCell">
    <xdr:from>
      <xdr:col>10</xdr:col>
      <xdr:colOff>523875</xdr:colOff>
      <xdr:row>11</xdr:row>
      <xdr:rowOff>123825</xdr:rowOff>
    </xdr:from>
    <xdr:to>
      <xdr:col>14</xdr:col>
      <xdr:colOff>394032</xdr:colOff>
      <xdr:row>31</xdr:row>
      <xdr:rowOff>100214</xdr:rowOff>
    </xdr:to>
    <xdr:pic>
      <xdr:nvPicPr>
        <xdr:cNvPr id="6" name="Рисунок 5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619875" y="3705225"/>
          <a:ext cx="2308557" cy="3786389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18</xdr:col>
      <xdr:colOff>566939</xdr:colOff>
      <xdr:row>31</xdr:row>
      <xdr:rowOff>124210</xdr:rowOff>
    </xdr:to>
    <xdr:pic>
      <xdr:nvPicPr>
        <xdr:cNvPr id="7" name="Рисунок 6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144000" y="3771900"/>
          <a:ext cx="2395739" cy="3743710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</xdr:spPr>
    </xdr:pic>
    <xdr:clientData/>
  </xdr:twoCellAnchor>
  <xdr:twoCellAnchor editAs="oneCell">
    <xdr:from>
      <xdr:col>0</xdr:col>
      <xdr:colOff>57150</xdr:colOff>
      <xdr:row>31</xdr:row>
      <xdr:rowOff>180975</xdr:rowOff>
    </xdr:from>
    <xdr:to>
      <xdr:col>13</xdr:col>
      <xdr:colOff>419100</xdr:colOff>
      <xdr:row>85</xdr:row>
      <xdr:rowOff>57150</xdr:rowOff>
    </xdr:to>
    <xdr:pic>
      <xdr:nvPicPr>
        <xdr:cNvPr id="8" name="Рисунок 7"/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7150" y="7572375"/>
          <a:ext cx="8286750" cy="10163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4excel.ru/index.ph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>
      <selection activeCell="A31" sqref="A31"/>
    </sheetView>
  </sheetViews>
  <sheetFormatPr defaultRowHeight="15"/>
  <sheetData>
    <row r="1" spans="1:19">
      <c r="A1" s="22" t="s">
        <v>50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7.25" customHeight="1">
      <c r="A2" s="22" t="s">
        <v>51</v>
      </c>
      <c r="B2" s="20"/>
      <c r="C2" s="20"/>
      <c r="D2" s="20"/>
      <c r="E2" s="20"/>
    </row>
    <row r="3" spans="1:19" ht="19.5" customHeight="1">
      <c r="A3" s="23" t="s">
        <v>52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spans="1:19" ht="28.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ht="48.75" customHeight="1">
      <c r="A5" s="23" t="s">
        <v>53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ht="33" customHeight="1">
      <c r="A6" s="25" t="s">
        <v>59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</row>
    <row r="7" spans="1:19" ht="33.75" customHeight="1">
      <c r="A7" s="25" t="s">
        <v>54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</row>
    <row r="8" spans="1:19" ht="20.25" customHeight="1">
      <c r="A8" s="23" t="s">
        <v>60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</row>
    <row r="9" spans="1:19">
      <c r="A9" s="19" t="s">
        <v>61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9">
      <c r="A10" s="19" t="s">
        <v>55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spans="1:19">
      <c r="A11" s="19" t="s">
        <v>56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</row>
    <row r="12" spans="1:19">
      <c r="A12" s="18"/>
    </row>
    <row r="13" spans="1:19">
      <c r="A13" s="19" t="s">
        <v>57</v>
      </c>
      <c r="B13" s="20"/>
      <c r="C13" s="20"/>
      <c r="D13" s="20"/>
      <c r="E13" s="20"/>
    </row>
    <row r="14" spans="1:19">
      <c r="A14" s="21" t="s">
        <v>58</v>
      </c>
      <c r="B14" s="20"/>
      <c r="C14" s="20"/>
      <c r="D14" s="20"/>
      <c r="E14" s="20"/>
    </row>
  </sheetData>
  <mergeCells count="12">
    <mergeCell ref="A10:K10"/>
    <mergeCell ref="A11:R11"/>
    <mergeCell ref="A13:E13"/>
    <mergeCell ref="A14:E14"/>
    <mergeCell ref="A1:S1"/>
    <mergeCell ref="A2:E2"/>
    <mergeCell ref="A3:S4"/>
    <mergeCell ref="A5:S5"/>
    <mergeCell ref="A6:S6"/>
    <mergeCell ref="A7:S7"/>
    <mergeCell ref="A8:S8"/>
    <mergeCell ref="A9:L9"/>
  </mergeCells>
  <hyperlinks>
    <hyperlink ref="A14" r:id="rId1" display="http://4excel.ru/index.php"/>
  </hyperlinks>
  <pageMargins left="0.7" right="0.7" top="0.75" bottom="0.75" header="0.3" footer="0.3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3"/>
  <dimension ref="A1:I49"/>
  <sheetViews>
    <sheetView workbookViewId="0">
      <pane xSplit="9" ySplit="37" topLeftCell="J38" activePane="bottomRight" state="frozen"/>
      <selection pane="topRight" activeCell="J1" sqref="J1"/>
      <selection pane="bottomLeft" activeCell="A38" sqref="A38"/>
      <selection pane="bottomRight" activeCell="A37" sqref="A37"/>
    </sheetView>
  </sheetViews>
  <sheetFormatPr defaultRowHeight="15"/>
  <cols>
    <col min="1" max="1" width="7.42578125" customWidth="1"/>
    <col min="2" max="2" width="9.140625" customWidth="1"/>
    <col min="7" max="7" width="8.42578125" customWidth="1"/>
    <col min="9" max="9" width="9.7109375" customWidth="1"/>
  </cols>
  <sheetData>
    <row r="1" spans="1:9" ht="18.75">
      <c r="A1" s="30" t="str">
        <f>Настройка!B1</f>
        <v>Примерный тест, по различным предметам</v>
      </c>
      <c r="B1" s="30"/>
      <c r="C1" s="30"/>
      <c r="D1" s="30"/>
      <c r="E1" s="30"/>
      <c r="F1" s="30"/>
      <c r="G1" s="30"/>
      <c r="H1" s="30"/>
      <c r="I1" s="31"/>
    </row>
    <row r="2" spans="1:9" ht="15.75">
      <c r="A2" s="32" t="s">
        <v>4</v>
      </c>
      <c r="B2" s="33"/>
      <c r="C2" s="34" t="str">
        <f>Настройка!B2</f>
        <v>Школа № 7</v>
      </c>
      <c r="D2" s="34"/>
      <c r="E2" s="34"/>
      <c r="F2" s="34"/>
      <c r="G2" s="34"/>
      <c r="H2" s="34"/>
      <c r="I2" s="34"/>
    </row>
    <row r="3" spans="1:9" ht="15.75">
      <c r="A3" s="32" t="s">
        <v>47</v>
      </c>
      <c r="B3" s="33"/>
      <c r="C3" s="34" t="str">
        <f>Настройка!B3</f>
        <v>Иванова О.А.</v>
      </c>
      <c r="D3" s="34"/>
      <c r="E3" s="34"/>
      <c r="F3" s="34"/>
      <c r="G3" s="34"/>
      <c r="H3" s="34"/>
      <c r="I3" s="34"/>
    </row>
    <row r="4" spans="1:9" ht="15.75">
      <c r="D4" s="2" t="s">
        <v>38</v>
      </c>
      <c r="E4" s="5" t="s">
        <v>39</v>
      </c>
      <c r="F4" s="28" t="s">
        <v>42</v>
      </c>
      <c r="G4" s="28"/>
      <c r="H4" s="29" t="s">
        <v>40</v>
      </c>
      <c r="I4" s="29"/>
    </row>
    <row r="5" spans="1:9" ht="15.75">
      <c r="A5" s="3" t="s">
        <v>5</v>
      </c>
      <c r="B5" s="3" t="s">
        <v>6</v>
      </c>
      <c r="C5" s="1"/>
      <c r="D5" s="1"/>
      <c r="E5" s="1"/>
      <c r="F5" s="1"/>
    </row>
    <row r="6" spans="1:9" ht="15.75">
      <c r="A6" s="4">
        <v>1</v>
      </c>
      <c r="B6" s="27" t="str">
        <f>Настройка!B7</f>
        <v>Слон это:</v>
      </c>
      <c r="C6" s="27"/>
      <c r="D6" s="1"/>
      <c r="E6" s="1"/>
      <c r="F6" s="1"/>
    </row>
    <row r="7" spans="1:9" ht="15.75">
      <c r="A7" s="1"/>
      <c r="B7" s="27"/>
      <c r="C7" s="27"/>
      <c r="D7" s="1"/>
      <c r="E7" s="1"/>
      <c r="F7" s="1"/>
    </row>
    <row r="8" spans="1:9" ht="9" customHeight="1">
      <c r="A8" s="1"/>
      <c r="B8" s="27"/>
      <c r="C8" s="27"/>
      <c r="D8" s="1"/>
      <c r="E8" s="1"/>
      <c r="F8" s="1"/>
    </row>
    <row r="9" spans="1:9" ht="15.75">
      <c r="A9" s="4">
        <v>2</v>
      </c>
      <c r="B9" s="27" t="str">
        <f>Настройка!B11</f>
        <v>Быстрее всех движется:</v>
      </c>
      <c r="C9" s="27"/>
      <c r="D9" s="1"/>
      <c r="E9" s="1"/>
      <c r="F9" s="1"/>
    </row>
    <row r="10" spans="1:9" ht="15.75">
      <c r="A10" s="1"/>
      <c r="B10" s="27"/>
      <c r="C10" s="27"/>
      <c r="D10" s="1"/>
      <c r="E10" s="1"/>
      <c r="F10" s="1"/>
    </row>
    <row r="11" spans="1:9" ht="15.75">
      <c r="A11" s="1"/>
      <c r="B11" s="27"/>
      <c r="C11" s="27"/>
      <c r="D11" s="1"/>
      <c r="E11" s="1"/>
      <c r="F11" s="1"/>
    </row>
    <row r="12" spans="1:9" ht="15.75">
      <c r="A12" s="1"/>
      <c r="B12" s="27"/>
      <c r="C12" s="27"/>
      <c r="D12" s="1"/>
      <c r="E12" s="1"/>
      <c r="F12" s="1"/>
    </row>
    <row r="13" spans="1:9" ht="15.75">
      <c r="A13" s="1"/>
      <c r="B13" s="27"/>
      <c r="C13" s="27"/>
      <c r="D13" s="1"/>
      <c r="E13" s="1"/>
      <c r="F13" s="1"/>
    </row>
    <row r="14" spans="1:9" ht="10.5" customHeight="1">
      <c r="A14" s="1"/>
      <c r="B14" s="1"/>
      <c r="C14" s="1"/>
      <c r="D14" s="1"/>
      <c r="E14" s="1"/>
      <c r="F14" s="1"/>
    </row>
    <row r="15" spans="1:9" ht="15.75">
      <c r="A15" s="4">
        <v>3</v>
      </c>
      <c r="B15" s="27" t="str">
        <f>Настройка!B17</f>
        <v>Число (1/3) - это</v>
      </c>
      <c r="C15" s="27"/>
      <c r="D15" s="1"/>
      <c r="E15" s="1"/>
      <c r="F15" s="1"/>
    </row>
    <row r="16" spans="1:9" ht="15.75">
      <c r="A16" s="1"/>
      <c r="B16" s="27"/>
      <c r="C16" s="27"/>
      <c r="D16" s="1"/>
      <c r="E16" s="1"/>
      <c r="F16" s="1"/>
    </row>
    <row r="17" spans="1:6" ht="15.75">
      <c r="A17" s="1"/>
      <c r="B17" s="27"/>
      <c r="C17" s="27"/>
      <c r="D17" s="1"/>
      <c r="E17" s="1"/>
      <c r="F17" s="1"/>
    </row>
    <row r="18" spans="1:6" ht="15.75">
      <c r="A18" s="1"/>
      <c r="B18" s="27"/>
      <c r="C18" s="27"/>
      <c r="D18" s="1"/>
      <c r="E18" s="1"/>
      <c r="F18" s="1"/>
    </row>
    <row r="19" spans="1:6" ht="10.5" customHeight="1">
      <c r="A19" s="1"/>
      <c r="B19" s="1"/>
      <c r="C19" s="1"/>
      <c r="D19" s="1"/>
      <c r="E19" s="1"/>
      <c r="F19" s="1"/>
    </row>
    <row r="20" spans="1:6" ht="15.75">
      <c r="A20" s="4">
        <v>4</v>
      </c>
      <c r="B20" s="35" t="s">
        <v>43</v>
      </c>
      <c r="C20" s="35"/>
      <c r="D20" s="1"/>
      <c r="E20" s="1"/>
      <c r="F20" s="1"/>
    </row>
    <row r="21" spans="1:6" ht="15.75">
      <c r="A21" s="1"/>
      <c r="B21" s="35"/>
      <c r="C21" s="35"/>
      <c r="D21" s="1"/>
      <c r="E21" s="1"/>
      <c r="F21" s="1"/>
    </row>
    <row r="22" spans="1:6" ht="15.75">
      <c r="A22" s="1"/>
      <c r="B22" s="35"/>
      <c r="C22" s="35"/>
      <c r="D22" s="1"/>
      <c r="E22" s="1"/>
      <c r="F22" s="1"/>
    </row>
    <row r="23" spans="1:6" ht="10.5" customHeight="1">
      <c r="A23" s="1"/>
      <c r="B23" s="1"/>
      <c r="C23" s="1"/>
      <c r="D23" s="1"/>
      <c r="E23" s="1"/>
      <c r="F23" s="1"/>
    </row>
    <row r="24" spans="1:6" ht="15.75">
      <c r="A24" s="4">
        <v>5</v>
      </c>
      <c r="B24" s="36" t="str">
        <f>Настройка!B26</f>
        <v>Автор произведения: "Левый марш"</v>
      </c>
      <c r="C24" s="36"/>
      <c r="D24" s="1"/>
      <c r="E24" s="1"/>
      <c r="F24" s="1"/>
    </row>
    <row r="25" spans="1:6" ht="15.75">
      <c r="A25" s="1"/>
      <c r="B25" s="36"/>
      <c r="C25" s="36"/>
      <c r="D25" s="1"/>
      <c r="E25" s="1"/>
      <c r="F25" s="1"/>
    </row>
    <row r="26" spans="1:6" ht="15.75">
      <c r="A26" s="1"/>
      <c r="B26" s="36"/>
      <c r="C26" s="36"/>
      <c r="D26" s="1"/>
      <c r="E26" s="1"/>
      <c r="F26" s="1"/>
    </row>
    <row r="27" spans="1:6" ht="15.75">
      <c r="A27" s="1"/>
      <c r="B27" s="36"/>
      <c r="C27" s="36"/>
      <c r="D27" s="1"/>
      <c r="E27" s="1"/>
      <c r="F27" s="1"/>
    </row>
    <row r="28" spans="1:6" ht="12" customHeight="1">
      <c r="A28" s="1"/>
      <c r="B28" s="1"/>
      <c r="C28" s="1"/>
      <c r="D28" s="1"/>
      <c r="E28" s="1"/>
      <c r="F28" s="1"/>
    </row>
    <row r="29" spans="1:6" ht="15.75">
      <c r="A29" s="4">
        <v>6</v>
      </c>
      <c r="B29" s="35" t="str">
        <f>Настройка!B31</f>
        <v>Число (-7) это:</v>
      </c>
      <c r="C29" s="27"/>
      <c r="D29" s="1"/>
      <c r="E29" s="1"/>
      <c r="F29" s="1"/>
    </row>
    <row r="30" spans="1:6" ht="15.75">
      <c r="A30" s="1"/>
      <c r="B30" s="27"/>
      <c r="C30" s="27"/>
      <c r="D30" s="1"/>
      <c r="E30" s="1"/>
      <c r="F30" s="1"/>
    </row>
    <row r="31" spans="1:6" ht="15.75">
      <c r="A31" s="1"/>
      <c r="B31" s="27"/>
      <c r="C31" s="27"/>
      <c r="D31" s="1"/>
      <c r="E31" s="1"/>
      <c r="F31" s="1"/>
    </row>
    <row r="32" spans="1:6" ht="11.25" customHeight="1">
      <c r="A32" s="1"/>
      <c r="B32" s="1"/>
      <c r="C32" s="1"/>
      <c r="D32" s="1"/>
      <c r="E32" s="1"/>
      <c r="F32" s="1"/>
    </row>
    <row r="33" spans="1:6" ht="15.75">
      <c r="A33" s="4">
        <v>7</v>
      </c>
      <c r="B33" s="35" t="str">
        <f>Настройка!B35</f>
        <v>Оказать 1-ю медицинскую помощь - это:</v>
      </c>
      <c r="C33" s="27"/>
      <c r="D33" s="1"/>
      <c r="E33" s="1"/>
      <c r="F33" s="1"/>
    </row>
    <row r="34" spans="1:6" ht="15.75">
      <c r="A34" s="1"/>
      <c r="B34" s="27"/>
      <c r="C34" s="27"/>
      <c r="D34" s="1"/>
      <c r="E34" s="1"/>
      <c r="F34" s="1"/>
    </row>
    <row r="35" spans="1:6">
      <c r="B35" s="24"/>
      <c r="C35" s="24"/>
    </row>
    <row r="49" spans="7:8" ht="15.75">
      <c r="G49" s="16" t="s">
        <v>49</v>
      </c>
      <c r="H49" s="17">
        <f>Настройка!I37</f>
        <v>5</v>
      </c>
    </row>
  </sheetData>
  <sheetProtection password="CABB" sheet="1" objects="1" scenarios="1"/>
  <mergeCells count="14">
    <mergeCell ref="B15:C18"/>
    <mergeCell ref="B20:C22"/>
    <mergeCell ref="B24:C27"/>
    <mergeCell ref="B29:C31"/>
    <mergeCell ref="B33:C35"/>
    <mergeCell ref="B6:C8"/>
    <mergeCell ref="F4:G4"/>
    <mergeCell ref="H4:I4"/>
    <mergeCell ref="B9:C13"/>
    <mergeCell ref="A1:I1"/>
    <mergeCell ref="A2:B2"/>
    <mergeCell ref="A3:B3"/>
    <mergeCell ref="C2:I2"/>
    <mergeCell ref="C3:I3"/>
  </mergeCells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2"/>
  <dimension ref="A1:K37"/>
  <sheetViews>
    <sheetView topLeftCell="A3" workbookViewId="0">
      <selection activeCell="E1" sqref="E1"/>
    </sheetView>
  </sheetViews>
  <sheetFormatPr defaultRowHeight="15"/>
  <cols>
    <col min="1" max="1" width="13.28515625" customWidth="1"/>
    <col min="2" max="2" width="17.140625" customWidth="1"/>
    <col min="3" max="3" width="4.85546875" customWidth="1"/>
    <col min="4" max="4" width="36.28515625" customWidth="1"/>
    <col min="5" max="5" width="20.140625" customWidth="1"/>
    <col min="6" max="6" width="100.140625" customWidth="1"/>
    <col min="7" max="7" width="20.85546875" customWidth="1"/>
    <col min="8" max="8" width="13.42578125" customWidth="1"/>
    <col min="9" max="9" width="17" customWidth="1"/>
    <col min="10" max="10" width="13.140625" customWidth="1"/>
  </cols>
  <sheetData>
    <row r="1" spans="1:10" ht="15.75">
      <c r="A1" s="14" t="s">
        <v>48</v>
      </c>
      <c r="B1" s="40" t="s">
        <v>37</v>
      </c>
      <c r="C1" s="20"/>
      <c r="D1" s="20"/>
      <c r="E1" s="12"/>
      <c r="F1" s="12"/>
      <c r="G1" s="12"/>
    </row>
    <row r="2" spans="1:10">
      <c r="A2" s="14" t="s">
        <v>4</v>
      </c>
      <c r="B2" s="13" t="s">
        <v>9</v>
      </c>
      <c r="D2" s="13"/>
      <c r="E2" s="13"/>
      <c r="F2" s="13"/>
      <c r="G2" s="13"/>
    </row>
    <row r="3" spans="1:10">
      <c r="A3" s="14" t="s">
        <v>47</v>
      </c>
      <c r="B3" s="13" t="s">
        <v>10</v>
      </c>
      <c r="D3" s="13"/>
      <c r="E3" s="13"/>
      <c r="F3" s="13"/>
      <c r="G3" s="13"/>
    </row>
    <row r="4" spans="1:10" ht="19.5" customHeight="1">
      <c r="C4" s="39" t="s">
        <v>46</v>
      </c>
      <c r="D4" s="39"/>
      <c r="E4" s="6"/>
      <c r="F4" s="6"/>
      <c r="G4" s="6"/>
      <c r="J4" t="b">
        <v>0</v>
      </c>
    </row>
    <row r="5" spans="1:10" ht="30.75" customHeight="1">
      <c r="A5" s="15" t="s">
        <v>5</v>
      </c>
      <c r="B5" s="7" t="s">
        <v>6</v>
      </c>
      <c r="C5" s="7"/>
      <c r="D5" s="7" t="s">
        <v>7</v>
      </c>
      <c r="E5" s="8" t="s">
        <v>11</v>
      </c>
      <c r="F5" s="8"/>
      <c r="G5" s="8"/>
    </row>
    <row r="6" spans="1:10" ht="6.75" customHeight="1">
      <c r="A6" s="15"/>
      <c r="B6" s="7"/>
      <c r="C6" s="7"/>
      <c r="D6" s="7"/>
      <c r="E6" s="8"/>
      <c r="F6" s="8"/>
      <c r="G6" s="8"/>
    </row>
    <row r="7" spans="1:10" ht="15.75">
      <c r="A7" s="9">
        <v>1</v>
      </c>
      <c r="B7" s="37" t="s">
        <v>0</v>
      </c>
      <c r="C7" s="6"/>
      <c r="D7" s="10" t="s">
        <v>2</v>
      </c>
      <c r="E7" s="9">
        <v>2</v>
      </c>
      <c r="F7" s="9"/>
      <c r="G7" s="9"/>
      <c r="H7">
        <v>4</v>
      </c>
      <c r="I7">
        <f>IF(H7=4,E9,IF(H7=3,E8,IF(H7=2,E7,0)))</f>
        <v>5</v>
      </c>
      <c r="J7">
        <f>IF(I7&gt;2,1,0)</f>
        <v>1</v>
      </c>
    </row>
    <row r="8" spans="1:10" ht="15.75">
      <c r="A8" s="9"/>
      <c r="B8" s="37"/>
      <c r="C8" s="6"/>
      <c r="D8" s="10" t="s">
        <v>1</v>
      </c>
      <c r="E8" s="9">
        <v>2</v>
      </c>
      <c r="F8" s="9"/>
      <c r="G8" s="9"/>
    </row>
    <row r="9" spans="1:10" ht="15.75">
      <c r="A9" s="9"/>
      <c r="B9" s="37"/>
      <c r="C9" s="6"/>
      <c r="D9" s="10" t="s">
        <v>3</v>
      </c>
      <c r="E9" s="9">
        <v>5</v>
      </c>
      <c r="F9" s="9"/>
      <c r="G9" s="9"/>
    </row>
    <row r="10" spans="1:10" ht="8.25" customHeight="1">
      <c r="A10" s="9"/>
      <c r="B10" s="11"/>
      <c r="C10" s="11"/>
      <c r="D10" s="10"/>
      <c r="E10" s="9"/>
      <c r="F10" s="9"/>
      <c r="G10" s="9"/>
    </row>
    <row r="11" spans="1:10" ht="15.75">
      <c r="A11" s="9">
        <v>2</v>
      </c>
      <c r="B11" s="41" t="s">
        <v>12</v>
      </c>
      <c r="C11" s="6"/>
      <c r="D11" s="10" t="s">
        <v>13</v>
      </c>
      <c r="E11" s="9">
        <v>2</v>
      </c>
      <c r="F11" s="9"/>
      <c r="G11" s="9"/>
      <c r="H11">
        <v>4</v>
      </c>
      <c r="I11">
        <f>IF(H11=6,E15,IF(H11=5,E14,IF(H11=4,E13,IF(H11=3,E12,IF(H11=2,E11,0)))))</f>
        <v>5</v>
      </c>
      <c r="J11">
        <f>IF(I11&gt;2,1,0)</f>
        <v>1</v>
      </c>
    </row>
    <row r="12" spans="1:10" ht="15.75">
      <c r="A12" s="9"/>
      <c r="B12" s="41"/>
      <c r="C12" s="6"/>
      <c r="D12" s="10" t="s">
        <v>14</v>
      </c>
      <c r="E12" s="9">
        <v>3</v>
      </c>
      <c r="F12" s="9"/>
      <c r="G12" s="9"/>
    </row>
    <row r="13" spans="1:10" ht="15.75">
      <c r="A13" s="9"/>
      <c r="B13" s="41"/>
      <c r="C13" s="6"/>
      <c r="D13" s="10" t="s">
        <v>8</v>
      </c>
      <c r="E13" s="9">
        <v>5</v>
      </c>
      <c r="F13" s="9"/>
      <c r="G13" s="9"/>
    </row>
    <row r="14" spans="1:10" ht="15.75">
      <c r="A14" s="9"/>
      <c r="B14" s="41"/>
      <c r="C14" s="6"/>
      <c r="D14" s="10" t="s">
        <v>16</v>
      </c>
      <c r="E14" s="9">
        <v>4</v>
      </c>
      <c r="F14" s="9"/>
      <c r="G14" s="9"/>
    </row>
    <row r="15" spans="1:10" ht="15.75">
      <c r="A15" s="9"/>
      <c r="B15" s="41"/>
      <c r="C15" s="6"/>
      <c r="D15" s="10" t="s">
        <v>15</v>
      </c>
      <c r="E15" s="9">
        <v>3</v>
      </c>
      <c r="F15" s="9"/>
      <c r="G15" s="9"/>
    </row>
    <row r="16" spans="1:10" ht="8.25" customHeight="1">
      <c r="A16" s="9"/>
      <c r="B16" s="6"/>
      <c r="C16" s="6"/>
      <c r="D16" s="10"/>
      <c r="E16" s="9"/>
      <c r="F16" s="9"/>
      <c r="G16" s="9"/>
    </row>
    <row r="17" spans="1:10" ht="15.75">
      <c r="A17" s="9">
        <v>3</v>
      </c>
      <c r="B17" s="41" t="s">
        <v>44</v>
      </c>
      <c r="C17" s="6"/>
      <c r="D17" s="10" t="s">
        <v>17</v>
      </c>
      <c r="E17" s="9">
        <v>2</v>
      </c>
      <c r="F17" s="9"/>
      <c r="G17" s="9"/>
      <c r="H17">
        <v>4</v>
      </c>
      <c r="I17">
        <f>IF(H17=5,E20,IF(H17=4,E19,IF(H17=3,E18,IF(H17=2,E17,0))))</f>
        <v>5</v>
      </c>
      <c r="J17">
        <f>IF(I17&gt;2,1,0)</f>
        <v>1</v>
      </c>
    </row>
    <row r="18" spans="1:10" ht="15.75">
      <c r="A18" s="9"/>
      <c r="B18" s="41"/>
      <c r="C18" s="6"/>
      <c r="D18" s="10" t="s">
        <v>18</v>
      </c>
      <c r="E18" s="9">
        <v>4</v>
      </c>
      <c r="F18" s="9"/>
      <c r="G18" s="9"/>
    </row>
    <row r="19" spans="1:10" ht="15.75">
      <c r="A19" s="9"/>
      <c r="B19" s="41"/>
      <c r="C19" s="6"/>
      <c r="D19" s="10" t="s">
        <v>19</v>
      </c>
      <c r="E19" s="9">
        <v>5</v>
      </c>
      <c r="F19" s="9"/>
      <c r="G19" s="9"/>
    </row>
    <row r="20" spans="1:10" ht="15.75">
      <c r="A20" s="9"/>
      <c r="B20" s="41"/>
      <c r="C20" s="6"/>
      <c r="D20" s="10" t="s">
        <v>20</v>
      </c>
      <c r="E20" s="9">
        <v>4</v>
      </c>
      <c r="F20" s="9"/>
      <c r="G20" s="9"/>
    </row>
    <row r="21" spans="1:10" ht="11.25" customHeight="1">
      <c r="A21" s="9"/>
      <c r="B21" s="6"/>
      <c r="C21" s="6"/>
      <c r="D21" s="10"/>
      <c r="E21" s="9"/>
      <c r="F21" s="9"/>
      <c r="G21" s="9"/>
    </row>
    <row r="22" spans="1:10" ht="15.75">
      <c r="A22" s="9">
        <v>4</v>
      </c>
      <c r="B22" s="41" t="s">
        <v>21</v>
      </c>
      <c r="C22" s="6"/>
      <c r="D22" s="10" t="s">
        <v>22</v>
      </c>
      <c r="E22" s="9">
        <v>3</v>
      </c>
      <c r="F22" s="9"/>
      <c r="G22" s="9"/>
      <c r="H22">
        <v>3</v>
      </c>
      <c r="I22">
        <f>IF(H22=4,E24,IF(H22=3,E23,IF(H22=2,E22,0)))</f>
        <v>5</v>
      </c>
      <c r="J22">
        <f>IF(I22&gt;2,1,0)</f>
        <v>1</v>
      </c>
    </row>
    <row r="23" spans="1:10" ht="15.75">
      <c r="A23" s="9"/>
      <c r="B23" s="41"/>
      <c r="C23" s="6"/>
      <c r="D23" s="10" t="s">
        <v>23</v>
      </c>
      <c r="E23" s="9">
        <v>5</v>
      </c>
      <c r="F23" s="9"/>
      <c r="G23" s="9"/>
    </row>
    <row r="24" spans="1:10" ht="15.75">
      <c r="A24" s="9"/>
      <c r="B24" s="41"/>
      <c r="C24" s="6"/>
      <c r="D24" s="10" t="s">
        <v>24</v>
      </c>
      <c r="E24" s="9">
        <v>2</v>
      </c>
      <c r="F24" s="9"/>
      <c r="G24" s="9"/>
    </row>
    <row r="25" spans="1:10" ht="10.5" customHeight="1">
      <c r="A25" s="9"/>
      <c r="B25" s="6"/>
      <c r="C25" s="6"/>
      <c r="D25" s="10"/>
      <c r="E25" s="9"/>
      <c r="F25" s="6"/>
      <c r="G25" s="6"/>
    </row>
    <row r="26" spans="1:10" ht="15.75">
      <c r="A26" s="9">
        <v>5</v>
      </c>
      <c r="B26" s="41" t="s">
        <v>25</v>
      </c>
      <c r="C26" s="6"/>
      <c r="D26" s="10" t="s">
        <v>26</v>
      </c>
      <c r="E26" s="9">
        <v>2</v>
      </c>
      <c r="F26" s="9"/>
      <c r="G26" s="9"/>
      <c r="H26">
        <v>5</v>
      </c>
      <c r="I26">
        <f>IF(H26=5,E29,IF(H26=4,E28,IF(H26=3,E27,IF(H26=2,E26,0))))</f>
        <v>5</v>
      </c>
      <c r="J26">
        <f>IF(I26&gt;2,1,0)</f>
        <v>1</v>
      </c>
    </row>
    <row r="27" spans="1:10" ht="15.75">
      <c r="A27" s="9"/>
      <c r="B27" s="41"/>
      <c r="C27" s="6"/>
      <c r="D27" s="10" t="s">
        <v>27</v>
      </c>
      <c r="E27" s="9">
        <v>2</v>
      </c>
      <c r="F27" s="9"/>
      <c r="G27" s="9"/>
    </row>
    <row r="28" spans="1:10" ht="15.75">
      <c r="A28" s="9"/>
      <c r="B28" s="41"/>
      <c r="C28" s="6"/>
      <c r="D28" s="10" t="s">
        <v>28</v>
      </c>
      <c r="E28" s="9">
        <v>2</v>
      </c>
      <c r="F28" s="9"/>
      <c r="G28" s="9"/>
    </row>
    <row r="29" spans="1:10" ht="15.75">
      <c r="A29" s="9"/>
      <c r="B29" s="41"/>
      <c r="C29" s="6"/>
      <c r="D29" s="10" t="s">
        <v>29</v>
      </c>
      <c r="E29" s="9">
        <v>5</v>
      </c>
      <c r="F29" s="9"/>
      <c r="G29" s="9"/>
    </row>
    <row r="30" spans="1:10" ht="15.75">
      <c r="A30" s="9"/>
      <c r="B30" s="6"/>
      <c r="C30" s="6"/>
      <c r="D30" s="10"/>
      <c r="E30" s="9"/>
      <c r="F30" s="6"/>
      <c r="G30" s="6"/>
    </row>
    <row r="31" spans="1:10" ht="15.75">
      <c r="A31" s="9">
        <v>6</v>
      </c>
      <c r="B31" s="38" t="s">
        <v>41</v>
      </c>
      <c r="C31" s="6"/>
      <c r="D31" s="10" t="s">
        <v>30</v>
      </c>
      <c r="E31" s="9">
        <v>5</v>
      </c>
      <c r="F31" s="9"/>
      <c r="G31" s="9"/>
      <c r="H31">
        <v>4</v>
      </c>
      <c r="I31">
        <f>IF(H31=4,E33,IF(H31=3,E32,IF(H31=2,E31,0)))</f>
        <v>4</v>
      </c>
      <c r="J31">
        <f>IF(I31&gt;2,1,0)</f>
        <v>1</v>
      </c>
    </row>
    <row r="32" spans="1:10" ht="15.75">
      <c r="A32" s="9"/>
      <c r="B32" s="38"/>
      <c r="C32" s="6"/>
      <c r="D32" s="10" t="s">
        <v>31</v>
      </c>
      <c r="E32" s="9">
        <v>2</v>
      </c>
      <c r="F32" s="9"/>
      <c r="G32" s="9"/>
    </row>
    <row r="33" spans="1:11" ht="15.75">
      <c r="A33" s="9"/>
      <c r="B33" s="38"/>
      <c r="C33" s="6"/>
      <c r="D33" s="10" t="s">
        <v>32</v>
      </c>
      <c r="E33" s="9">
        <v>4</v>
      </c>
      <c r="F33" s="9"/>
      <c r="G33" s="9"/>
    </row>
    <row r="34" spans="1:11" ht="9" customHeight="1">
      <c r="A34" s="9"/>
      <c r="B34" s="6"/>
      <c r="C34" s="6"/>
      <c r="D34" s="10"/>
      <c r="E34" s="9"/>
      <c r="F34" s="6"/>
      <c r="G34" s="6"/>
    </row>
    <row r="35" spans="1:11" ht="15.75">
      <c r="A35" s="9">
        <v>7</v>
      </c>
      <c r="B35" s="38" t="s">
        <v>33</v>
      </c>
      <c r="D35" s="10" t="s">
        <v>34</v>
      </c>
      <c r="E35" s="9">
        <v>3</v>
      </c>
      <c r="F35" s="9"/>
      <c r="G35" s="9"/>
      <c r="H35">
        <v>4</v>
      </c>
      <c r="I35">
        <f>IF(H35=4,E37,IF(H35=3,E36,IF(H35=2,E35,0)))</f>
        <v>5</v>
      </c>
      <c r="J35">
        <f>IF(I35&gt;2,1,0)</f>
        <v>1</v>
      </c>
    </row>
    <row r="36" spans="1:11" ht="15.75">
      <c r="A36" s="9"/>
      <c r="B36" s="38"/>
      <c r="D36" s="10" t="s">
        <v>35</v>
      </c>
      <c r="E36" s="9">
        <v>3</v>
      </c>
      <c r="F36" s="9"/>
      <c r="G36" s="9"/>
      <c r="I36">
        <f>SUM(I7:I35)</f>
        <v>34</v>
      </c>
      <c r="J36">
        <f>SUM(J7:J35)</f>
        <v>7</v>
      </c>
      <c r="K36">
        <f>IF(J36&lt;6,2,3)</f>
        <v>3</v>
      </c>
    </row>
    <row r="37" spans="1:11" ht="15.75">
      <c r="A37" s="9"/>
      <c r="B37" s="38"/>
      <c r="D37" s="10" t="s">
        <v>36</v>
      </c>
      <c r="E37" s="9">
        <v>5</v>
      </c>
      <c r="F37" s="9"/>
      <c r="G37" s="9"/>
      <c r="H37" t="s">
        <v>45</v>
      </c>
      <c r="I37">
        <f>ROUND(IF(J36=7,I36/7,K36),0)</f>
        <v>5</v>
      </c>
    </row>
  </sheetData>
  <mergeCells count="9">
    <mergeCell ref="B7:B9"/>
    <mergeCell ref="B31:B33"/>
    <mergeCell ref="C4:D4"/>
    <mergeCell ref="B1:D1"/>
    <mergeCell ref="B35:B37"/>
    <mergeCell ref="B11:B15"/>
    <mergeCell ref="B17:B20"/>
    <mergeCell ref="B22:B24"/>
    <mergeCell ref="B26:B29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Описание</vt:lpstr>
      <vt:lpstr>Тест</vt:lpstr>
      <vt:lpstr>Настройка</vt:lpstr>
    </vt:vector>
  </TitlesOfParts>
  <Company>Ural SoftPERM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</dc:creator>
  <cp:lastModifiedBy>AZ</cp:lastModifiedBy>
  <cp:lastPrinted>2014-11-22T15:12:32Z</cp:lastPrinted>
  <dcterms:created xsi:type="dcterms:W3CDTF">2014-11-17T18:05:51Z</dcterms:created>
  <dcterms:modified xsi:type="dcterms:W3CDTF">2014-11-22T15:12:49Z</dcterms:modified>
</cp:coreProperties>
</file>